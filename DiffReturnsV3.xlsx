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htu/Documents/Reason Org/Commentaries/Passive Funds Over Harvard/data_analysis/"/>
    </mc:Choice>
  </mc:AlternateContent>
  <xr:revisionPtr revIDLastSave="0" documentId="13_ncr:1_{FBCEAF84-8E0E-4447-A1CC-360CF8B95F34}" xr6:coauthVersionLast="47" xr6:coauthVersionMax="47" xr10:uidLastSave="{00000000-0000-0000-0000-000000000000}"/>
  <bookViews>
    <workbookView xWindow="17360" yWindow="920" windowWidth="17040" windowHeight="21260" activeTab="2" xr2:uid="{D419F4A2-EA39-8243-9D60-441118E77D5F}"/>
  </bookViews>
  <sheets>
    <sheet name="DiffReturnsV3" sheetId="1" r:id="rId1"/>
    <sheet name="Link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3" l="1"/>
  <c r="L26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" i="3"/>
  <c r="H25" i="3"/>
  <c r="K26" i="3"/>
  <c r="H2" i="3"/>
  <c r="I2" i="3"/>
  <c r="I26" i="3" s="1"/>
  <c r="J2" i="3"/>
  <c r="J26" i="3" s="1"/>
  <c r="K2" i="3"/>
  <c r="H3" i="3"/>
  <c r="H26" i="3" s="1"/>
  <c r="I3" i="3"/>
  <c r="J3" i="3"/>
  <c r="K3" i="3"/>
  <c r="H4" i="3"/>
  <c r="I4" i="3"/>
  <c r="J4" i="3"/>
  <c r="K4" i="3"/>
  <c r="H5" i="3"/>
  <c r="I5" i="3"/>
  <c r="J5" i="3"/>
  <c r="K5" i="3"/>
  <c r="H6" i="3"/>
  <c r="I6" i="3"/>
  <c r="J6" i="3"/>
  <c r="K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H11" i="3"/>
  <c r="K21" i="3"/>
  <c r="J21" i="3"/>
  <c r="I21" i="3"/>
  <c r="H21" i="3"/>
  <c r="K20" i="3"/>
  <c r="J20" i="3"/>
  <c r="I20" i="3"/>
  <c r="H20" i="3"/>
  <c r="K19" i="3"/>
  <c r="J19" i="3"/>
  <c r="I19" i="3"/>
  <c r="H19" i="3"/>
  <c r="K18" i="3"/>
  <c r="J18" i="3"/>
  <c r="I18" i="3"/>
  <c r="H18" i="3"/>
  <c r="K17" i="3"/>
  <c r="J17" i="3"/>
  <c r="I17" i="3"/>
  <c r="H17" i="3"/>
  <c r="K16" i="3"/>
  <c r="J16" i="3"/>
  <c r="I16" i="3"/>
  <c r="H16" i="3"/>
  <c r="K15" i="3"/>
  <c r="J15" i="3"/>
  <c r="I15" i="3"/>
  <c r="H15" i="3"/>
  <c r="K14" i="3"/>
  <c r="J14" i="3"/>
  <c r="I14" i="3"/>
  <c r="H14" i="3"/>
  <c r="K13" i="3"/>
  <c r="J13" i="3"/>
  <c r="I13" i="3"/>
  <c r="H13" i="3"/>
  <c r="K12" i="3"/>
  <c r="J12" i="3"/>
  <c r="I12" i="3"/>
  <c r="H12" i="3"/>
  <c r="K11" i="3"/>
  <c r="K25" i="3" s="1"/>
  <c r="J11" i="3"/>
  <c r="J25" i="3" s="1"/>
  <c r="I11" i="3"/>
  <c r="I25" i="3" s="1"/>
</calcChain>
</file>

<file path=xl/sharedStrings.xml><?xml version="1.0" encoding="utf-8"?>
<sst xmlns="http://schemas.openxmlformats.org/spreadsheetml/2006/main" count="24" uniqueCount="12">
  <si>
    <t>fye</t>
  </si>
  <si>
    <t>Nevada_PERS</t>
  </si>
  <si>
    <t>Montgomery_County</t>
  </si>
  <si>
    <t>Butler_County</t>
  </si>
  <si>
    <t>Harvard</t>
  </si>
  <si>
    <t>Yale</t>
  </si>
  <si>
    <t>https://www.montgomerycountypa.gov/Archive.aspx?AMID=47</t>
  </si>
  <si>
    <t>Montgomery_County Actuarial Valuation Report</t>
  </si>
  <si>
    <t>Jun</t>
  </si>
  <si>
    <t>Dec</t>
  </si>
  <si>
    <t>2013-2023</t>
  </si>
  <si>
    <t>2004-2023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</si>
</sst>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0" applyNumberFormat="1"/>
    <xf numFmtId="164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AB16-09BE-F74D-951A-364C4358EFB1}">
  <dimension ref="A1:J25"/>
  <sheetViews>
    <sheetView workbookViewId="0">
      <selection activeCell="G30" sqref="G30"/>
    </sheetView>
  </sheetViews>
  <sheetFormatPr baseColWidth="10" defaultRowHeight="16" x14ac:dyDescent="0.2"/>
  <cols>
    <col min="1" max="1" width="5.1640625" bestFit="1" customWidth="1"/>
    <col min="2" max="2" width="12.33203125" bestFit="1" customWidth="1"/>
    <col min="3" max="3" width="18" bestFit="1" customWidth="1"/>
    <col min="4" max="4" width="12.83203125" bestFit="1" customWidth="1"/>
    <col min="5" max="6" width="7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2">
      <c r="A2">
        <v>2004</v>
      </c>
      <c r="B2" s="1">
        <v>0.121</v>
      </c>
      <c r="C2" s="1">
        <v>8.8999999999999996E-2</v>
      </c>
      <c r="D2" s="1">
        <v>0.1027</v>
      </c>
      <c r="E2" s="1">
        <v>0.21099999999999999</v>
      </c>
      <c r="F2" s="1">
        <v>0.19400000000000001</v>
      </c>
    </row>
    <row r="3" spans="1:10" x14ac:dyDescent="0.2">
      <c r="A3">
        <v>2005</v>
      </c>
      <c r="B3" s="1">
        <v>9.2999999999999999E-2</v>
      </c>
      <c r="C3" s="1">
        <v>5.74E-2</v>
      </c>
      <c r="D3" s="1">
        <v>4.1399999999999999E-2</v>
      </c>
      <c r="E3" s="1">
        <v>0.192</v>
      </c>
      <c r="F3" s="1">
        <v>0.223</v>
      </c>
    </row>
    <row r="4" spans="1:10" x14ac:dyDescent="0.2">
      <c r="A4">
        <v>2006</v>
      </c>
      <c r="B4" s="1">
        <v>8.7999999999999995E-2</v>
      </c>
      <c r="C4" s="1">
        <v>0.10440000000000001</v>
      </c>
      <c r="D4" s="1">
        <v>0.1129</v>
      </c>
      <c r="E4" s="1">
        <v>0.16700000000000001</v>
      </c>
      <c r="F4" s="1">
        <v>0.22900000000000001</v>
      </c>
    </row>
    <row r="5" spans="1:10" x14ac:dyDescent="0.2">
      <c r="A5">
        <v>2007</v>
      </c>
      <c r="B5" s="1">
        <v>0.15</v>
      </c>
      <c r="C5" s="1">
        <v>4.9200000000000001E-2</v>
      </c>
      <c r="D5" s="1">
        <v>9.3399999999999997E-2</v>
      </c>
      <c r="E5" s="1">
        <v>0.23</v>
      </c>
      <c r="F5" s="1">
        <v>0.28000000000000003</v>
      </c>
    </row>
    <row r="6" spans="1:10" x14ac:dyDescent="0.2">
      <c r="A6">
        <v>2008</v>
      </c>
      <c r="B6" s="1">
        <v>-3.2000000000000001E-2</v>
      </c>
      <c r="C6" s="1">
        <v>-0.19059999999999999</v>
      </c>
      <c r="D6" s="1">
        <v>-0.2354</v>
      </c>
      <c r="E6" s="1">
        <v>8.5999999999999993E-2</v>
      </c>
      <c r="F6" s="1">
        <v>4.4999999999999998E-2</v>
      </c>
    </row>
    <row r="7" spans="1:10" x14ac:dyDescent="0.2">
      <c r="A7">
        <v>2009</v>
      </c>
      <c r="B7" s="1">
        <v>-0.156</v>
      </c>
      <c r="C7" s="1">
        <v>0.1804</v>
      </c>
      <c r="D7" s="1">
        <v>0.20119999999999999</v>
      </c>
      <c r="E7" s="1">
        <v>-0.27300000000000002</v>
      </c>
      <c r="F7" s="1">
        <v>-0.246</v>
      </c>
    </row>
    <row r="8" spans="1:10" x14ac:dyDescent="0.2">
      <c r="A8">
        <v>2010</v>
      </c>
      <c r="B8" s="1">
        <v>0.11</v>
      </c>
      <c r="C8" s="1">
        <v>0.1043</v>
      </c>
      <c r="D8" s="1">
        <v>0.13300000000000001</v>
      </c>
      <c r="E8" s="1">
        <v>0.11</v>
      </c>
      <c r="F8" s="1">
        <v>8.8999999999999996E-2</v>
      </c>
    </row>
    <row r="9" spans="1:10" x14ac:dyDescent="0.2">
      <c r="A9">
        <v>2011</v>
      </c>
      <c r="B9" s="1">
        <v>0.21099999999999999</v>
      </c>
      <c r="C9" s="1">
        <v>1.38E-2</v>
      </c>
      <c r="D9" s="1">
        <v>0.01</v>
      </c>
      <c r="E9" s="1">
        <v>0.214</v>
      </c>
      <c r="F9" s="1">
        <v>0.219</v>
      </c>
    </row>
    <row r="10" spans="1:10" x14ac:dyDescent="0.2">
      <c r="A10">
        <v>2012</v>
      </c>
      <c r="B10" s="1">
        <v>3.1E-2</v>
      </c>
      <c r="C10" s="1">
        <v>0.1008</v>
      </c>
      <c r="D10" s="1">
        <v>0.13500000000000001</v>
      </c>
      <c r="E10" s="1">
        <v>-1E-3</v>
      </c>
      <c r="F10" s="1">
        <v>4.7E-2</v>
      </c>
    </row>
    <row r="11" spans="1:10" x14ac:dyDescent="0.2">
      <c r="A11">
        <v>2013</v>
      </c>
      <c r="B11" s="1">
        <v>0.124</v>
      </c>
      <c r="C11" s="1">
        <v>0.16189999999999999</v>
      </c>
      <c r="D11" s="1">
        <v>0.17299999999999999</v>
      </c>
      <c r="E11" s="1">
        <v>0.113</v>
      </c>
      <c r="F11" s="1">
        <v>0.125</v>
      </c>
      <c r="G11" s="1"/>
      <c r="H11" s="1"/>
      <c r="I11" s="1"/>
      <c r="J11" s="1"/>
    </row>
    <row r="12" spans="1:10" x14ac:dyDescent="0.2">
      <c r="A12">
        <v>2014</v>
      </c>
      <c r="B12" s="1">
        <v>0.17599999999999999</v>
      </c>
      <c r="C12" s="1">
        <v>8.0500000000000002E-2</v>
      </c>
      <c r="D12" s="1">
        <v>8.4000000000000005E-2</v>
      </c>
      <c r="E12" s="1">
        <v>0.15</v>
      </c>
      <c r="F12" s="1">
        <v>0.20200000000000001</v>
      </c>
      <c r="G12" s="1"/>
      <c r="H12" s="1"/>
      <c r="I12" s="1"/>
      <c r="J12" s="1"/>
    </row>
    <row r="13" spans="1:10" x14ac:dyDescent="0.2">
      <c r="A13">
        <v>2015</v>
      </c>
      <c r="B13" s="1">
        <v>4.2000000000000003E-2</v>
      </c>
      <c r="C13" s="1">
        <v>3.5000000000000001E-3</v>
      </c>
      <c r="D13" s="1">
        <v>-7.0000000000000001E-3</v>
      </c>
      <c r="E13" s="1">
        <v>5.8000000000000003E-2</v>
      </c>
      <c r="F13" s="1">
        <v>0.115</v>
      </c>
      <c r="G13" s="1"/>
      <c r="H13" s="1"/>
      <c r="I13" s="1"/>
      <c r="J13" s="1"/>
    </row>
    <row r="14" spans="1:10" x14ac:dyDescent="0.2">
      <c r="A14">
        <v>2016</v>
      </c>
      <c r="B14" s="1">
        <v>2.3E-2</v>
      </c>
      <c r="C14" s="1">
        <v>7.6899999999999996E-2</v>
      </c>
      <c r="D14" s="1">
        <v>8.5999999999999993E-2</v>
      </c>
      <c r="E14" s="1">
        <v>-0.02</v>
      </c>
      <c r="F14" s="1">
        <v>3.4000000000000002E-2</v>
      </c>
      <c r="G14" s="1"/>
      <c r="H14" s="1"/>
      <c r="I14" s="1"/>
      <c r="J14" s="1"/>
    </row>
    <row r="15" spans="1:10" x14ac:dyDescent="0.2">
      <c r="A15">
        <v>2017</v>
      </c>
      <c r="B15" s="1">
        <v>0.11899999999999999</v>
      </c>
      <c r="C15" s="1">
        <v>0.1464</v>
      </c>
      <c r="D15" s="1">
        <v>0.13700000000000001</v>
      </c>
      <c r="E15" s="1">
        <v>0.08</v>
      </c>
      <c r="F15" s="1">
        <v>0.113</v>
      </c>
      <c r="G15" s="1"/>
      <c r="H15" s="1"/>
      <c r="I15" s="1"/>
      <c r="J15" s="1"/>
    </row>
    <row r="16" spans="1:10" x14ac:dyDescent="0.2">
      <c r="A16">
        <v>2018</v>
      </c>
      <c r="B16" s="1">
        <v>8.5999999999999993E-2</v>
      </c>
      <c r="C16" s="1">
        <v>-5.4199999999999998E-2</v>
      </c>
      <c r="D16" s="1">
        <v>-5.7000000000000002E-2</v>
      </c>
      <c r="E16" s="1">
        <v>0.1</v>
      </c>
      <c r="F16" s="1">
        <v>0.123</v>
      </c>
      <c r="G16" s="1"/>
      <c r="H16" s="1"/>
      <c r="I16" s="1"/>
      <c r="J16" s="1"/>
    </row>
    <row r="17" spans="1:10" x14ac:dyDescent="0.2">
      <c r="A17">
        <v>2019</v>
      </c>
      <c r="B17" s="1">
        <v>8.5000000000000006E-2</v>
      </c>
      <c r="C17" s="1">
        <v>0.20230000000000001</v>
      </c>
      <c r="D17" s="1">
        <v>0.20100000000000001</v>
      </c>
      <c r="E17" s="1">
        <v>6.5000000000000002E-2</v>
      </c>
      <c r="F17" s="1">
        <v>5.7000000000000002E-2</v>
      </c>
      <c r="G17" s="1"/>
      <c r="H17" s="1"/>
      <c r="I17" s="1"/>
      <c r="J17" s="1"/>
    </row>
    <row r="18" spans="1:10" x14ac:dyDescent="0.2">
      <c r="A18">
        <v>2020</v>
      </c>
      <c r="B18" s="1">
        <v>7.1999999999999995E-2</v>
      </c>
      <c r="C18" s="1">
        <v>0.12620000000000001</v>
      </c>
      <c r="D18" s="1">
        <v>9.6000000000000002E-2</v>
      </c>
      <c r="E18" s="1">
        <v>7.2999999999999995E-2</v>
      </c>
      <c r="F18" s="1">
        <v>6.8000000000000005E-2</v>
      </c>
      <c r="G18" s="1"/>
      <c r="H18" s="1"/>
      <c r="I18" s="1"/>
      <c r="J18" s="1"/>
    </row>
    <row r="19" spans="1:10" x14ac:dyDescent="0.2">
      <c r="A19">
        <v>2021</v>
      </c>
      <c r="B19" s="1">
        <v>0.27300000000000002</v>
      </c>
      <c r="C19" s="1">
        <v>0.12470000000000001</v>
      </c>
      <c r="D19" s="1">
        <v>0.13900000000000001</v>
      </c>
      <c r="E19" s="1">
        <v>0.33600000000000002</v>
      </c>
      <c r="F19" s="1">
        <v>0.40200000000000002</v>
      </c>
      <c r="G19" s="1"/>
      <c r="H19" s="1"/>
      <c r="I19" s="1"/>
      <c r="J19" s="1"/>
    </row>
    <row r="20" spans="1:10" x14ac:dyDescent="0.2">
      <c r="A20">
        <v>2022</v>
      </c>
      <c r="B20" s="1">
        <v>-5.0999999999999997E-2</v>
      </c>
      <c r="C20" s="1">
        <v>-0.16020000000000001</v>
      </c>
      <c r="D20" s="1">
        <v>-0.157</v>
      </c>
      <c r="E20" s="1">
        <v>-1.7999999999999999E-2</v>
      </c>
      <c r="F20" s="1">
        <v>8.0000000000000004E-4</v>
      </c>
      <c r="G20" s="1"/>
      <c r="H20" s="1"/>
      <c r="I20" s="1"/>
      <c r="J20" s="1"/>
    </row>
    <row r="21" spans="1:10" x14ac:dyDescent="0.2">
      <c r="A21">
        <v>2023</v>
      </c>
      <c r="B21" s="1">
        <v>9.2999999999999999E-2</v>
      </c>
      <c r="C21" s="1">
        <v>0.15640000000000001</v>
      </c>
      <c r="D21" s="1">
        <v>0.15</v>
      </c>
      <c r="E21" s="1">
        <v>2.9000000000000001E-2</v>
      </c>
      <c r="F21" s="1">
        <v>1.7999999999999999E-2</v>
      </c>
      <c r="G21" s="1"/>
      <c r="H21" s="1"/>
      <c r="I21" s="1"/>
      <c r="J21" s="1"/>
    </row>
    <row r="22" spans="1:10" x14ac:dyDescent="0.2">
      <c r="A22">
        <v>2024</v>
      </c>
      <c r="B22" s="1">
        <v>0.121</v>
      </c>
      <c r="E22" s="1">
        <v>9.6000000000000002E-2</v>
      </c>
      <c r="F22" s="1">
        <v>5.7000000000000002E-2</v>
      </c>
    </row>
    <row r="23" spans="1:10" x14ac:dyDescent="0.2">
      <c r="A23">
        <v>2025</v>
      </c>
      <c r="B23" s="1">
        <v>0</v>
      </c>
      <c r="E23" s="1">
        <v>0.11899999999999999</v>
      </c>
      <c r="F23" s="1">
        <v>0.111</v>
      </c>
    </row>
    <row r="25" spans="1:10" x14ac:dyDescent="0.2">
      <c r="G25" s="2"/>
      <c r="H25" s="2"/>
      <c r="I25" s="2"/>
      <c r="J2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5CB1-9D63-1B4C-A2F1-5027EC1D055C}">
  <dimension ref="B2:B3"/>
  <sheetViews>
    <sheetView workbookViewId="0">
      <selection activeCell="B23" sqref="B23"/>
    </sheetView>
  </sheetViews>
  <sheetFormatPr baseColWidth="10" defaultRowHeight="16" x14ac:dyDescent="0.2"/>
  <sheetData>
    <row r="2" spans="2:2" x14ac:dyDescent="0.2">
      <c r="B2" t="s">
        <v>7</v>
      </c>
    </row>
    <row r="3" spans="2:2" x14ac:dyDescent="0.2">
      <c r="B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A2C7-5006-9045-8792-DE898269824F}">
  <dimension ref="A1:L30"/>
  <sheetViews>
    <sheetView tabSelected="1" topLeftCell="C1" workbookViewId="0">
      <selection activeCell="G26" sqref="G26"/>
    </sheetView>
  </sheetViews>
  <sheetFormatPr baseColWidth="10" defaultRowHeight="16" x14ac:dyDescent="0.2"/>
  <cols>
    <col min="1" max="1" width="5.1640625" bestFit="1" customWidth="1"/>
    <col min="2" max="2" width="12.33203125" bestFit="1" customWidth="1"/>
    <col min="3" max="3" width="18" bestFit="1" customWidth="1"/>
    <col min="4" max="4" width="12.83203125" bestFit="1" customWidth="1"/>
    <col min="5" max="6" width="7.83203125" bestFit="1" customWidth="1"/>
    <col min="7" max="7" width="9.83203125" bestFit="1" customWidth="1"/>
    <col min="8" max="8" width="12.33203125" bestFit="1" customWidth="1"/>
    <col min="9" max="9" width="18" bestFit="1" customWidth="1"/>
    <col min="10" max="10" width="12.83203125" bestFit="1" customWidth="1"/>
    <col min="11" max="11" width="8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</v>
      </c>
      <c r="I1" t="s">
        <v>2</v>
      </c>
      <c r="J1" t="s">
        <v>3</v>
      </c>
      <c r="K1" t="s">
        <v>4</v>
      </c>
    </row>
    <row r="2" spans="1:12" x14ac:dyDescent="0.2">
      <c r="A2">
        <v>2004</v>
      </c>
      <c r="B2" s="1">
        <v>0.121</v>
      </c>
      <c r="C2" s="1">
        <v>8.8999999999999996E-2</v>
      </c>
      <c r="D2" s="1">
        <v>0.1027</v>
      </c>
      <c r="E2" s="1">
        <v>0.21099999999999999</v>
      </c>
      <c r="F2" s="1">
        <v>0.19400000000000001</v>
      </c>
      <c r="G2" s="1"/>
      <c r="H2" s="1">
        <f t="shared" ref="H2:H10" si="0">1+B2</f>
        <v>1.121</v>
      </c>
      <c r="I2" s="1">
        <f t="shared" ref="I2:I10" si="1">1+C2</f>
        <v>1.089</v>
      </c>
      <c r="J2" s="1">
        <f t="shared" ref="J2:J10" si="2">1+D2</f>
        <v>1.1027</v>
      </c>
      <c r="K2" s="1">
        <f t="shared" ref="K2:L17" si="3">1+E2</f>
        <v>1.2110000000000001</v>
      </c>
      <c r="L2" s="1">
        <f t="shared" si="3"/>
        <v>1.194</v>
      </c>
    </row>
    <row r="3" spans="1:12" x14ac:dyDescent="0.2">
      <c r="A3">
        <v>2005</v>
      </c>
      <c r="B3" s="1">
        <v>9.2999999999999999E-2</v>
      </c>
      <c r="C3" s="1">
        <v>5.74E-2</v>
      </c>
      <c r="D3" s="1">
        <v>4.1399999999999999E-2</v>
      </c>
      <c r="E3" s="1">
        <v>0.192</v>
      </c>
      <c r="F3" s="1">
        <v>0.223</v>
      </c>
      <c r="G3" s="1"/>
      <c r="H3" s="1">
        <f t="shared" si="0"/>
        <v>1.093</v>
      </c>
      <c r="I3" s="1">
        <f t="shared" si="1"/>
        <v>1.0573999999999999</v>
      </c>
      <c r="J3" s="1">
        <f t="shared" si="2"/>
        <v>1.0414000000000001</v>
      </c>
      <c r="K3" s="1">
        <f t="shared" si="3"/>
        <v>1.1919999999999999</v>
      </c>
      <c r="L3" s="1">
        <f t="shared" si="3"/>
        <v>1.2230000000000001</v>
      </c>
    </row>
    <row r="4" spans="1:12" x14ac:dyDescent="0.2">
      <c r="A4">
        <v>2006</v>
      </c>
      <c r="B4" s="1">
        <v>8.7999999999999995E-2</v>
      </c>
      <c r="C4" s="1">
        <v>0.10440000000000001</v>
      </c>
      <c r="D4" s="1">
        <v>0.1129</v>
      </c>
      <c r="E4" s="1">
        <v>0.16700000000000001</v>
      </c>
      <c r="F4" s="1">
        <v>0.22900000000000001</v>
      </c>
      <c r="G4" s="1"/>
      <c r="H4" s="1">
        <f t="shared" si="0"/>
        <v>1.0880000000000001</v>
      </c>
      <c r="I4" s="1">
        <f t="shared" si="1"/>
        <v>1.1044</v>
      </c>
      <c r="J4" s="1">
        <f t="shared" si="2"/>
        <v>1.1129</v>
      </c>
      <c r="K4" s="1">
        <f t="shared" si="3"/>
        <v>1.167</v>
      </c>
      <c r="L4" s="1">
        <f t="shared" si="3"/>
        <v>1.2290000000000001</v>
      </c>
    </row>
    <row r="5" spans="1:12" x14ac:dyDescent="0.2">
      <c r="A5">
        <v>2007</v>
      </c>
      <c r="B5" s="1">
        <v>0.15</v>
      </c>
      <c r="C5" s="1">
        <v>4.9200000000000001E-2</v>
      </c>
      <c r="D5" s="1">
        <v>9.3399999999999997E-2</v>
      </c>
      <c r="E5" s="1">
        <v>0.23</v>
      </c>
      <c r="F5" s="1">
        <v>0.28000000000000003</v>
      </c>
      <c r="G5" s="1"/>
      <c r="H5" s="1">
        <f t="shared" si="0"/>
        <v>1.1499999999999999</v>
      </c>
      <c r="I5" s="1">
        <f t="shared" si="1"/>
        <v>1.0491999999999999</v>
      </c>
      <c r="J5" s="1">
        <f t="shared" si="2"/>
        <v>1.0933999999999999</v>
      </c>
      <c r="K5" s="1">
        <f t="shared" si="3"/>
        <v>1.23</v>
      </c>
      <c r="L5" s="1">
        <f t="shared" si="3"/>
        <v>1.28</v>
      </c>
    </row>
    <row r="6" spans="1:12" x14ac:dyDescent="0.2">
      <c r="A6">
        <v>2008</v>
      </c>
      <c r="B6" s="1">
        <v>-3.2000000000000001E-2</v>
      </c>
      <c r="C6" s="1">
        <v>-0.19059999999999999</v>
      </c>
      <c r="D6" s="1">
        <v>-0.2354</v>
      </c>
      <c r="E6" s="1">
        <v>8.5999999999999993E-2</v>
      </c>
      <c r="F6" s="1">
        <v>4.4999999999999998E-2</v>
      </c>
      <c r="G6" s="1"/>
      <c r="H6" s="1">
        <f t="shared" si="0"/>
        <v>0.96799999999999997</v>
      </c>
      <c r="I6" s="1">
        <f t="shared" si="1"/>
        <v>0.80940000000000001</v>
      </c>
      <c r="J6" s="1">
        <f t="shared" si="2"/>
        <v>0.76459999999999995</v>
      </c>
      <c r="K6" s="1">
        <f t="shared" si="3"/>
        <v>1.0860000000000001</v>
      </c>
      <c r="L6" s="1">
        <f t="shared" si="3"/>
        <v>1.0449999999999999</v>
      </c>
    </row>
    <row r="7" spans="1:12" x14ac:dyDescent="0.2">
      <c r="A7">
        <v>2009</v>
      </c>
      <c r="B7" s="1">
        <v>-0.156</v>
      </c>
      <c r="C7" s="1">
        <v>0.1804</v>
      </c>
      <c r="D7" s="1">
        <v>0.20119999999999999</v>
      </c>
      <c r="E7" s="1">
        <v>-0.27300000000000002</v>
      </c>
      <c r="F7" s="1">
        <v>-0.246</v>
      </c>
      <c r="G7" s="1"/>
      <c r="H7" s="1">
        <f t="shared" si="0"/>
        <v>0.84399999999999997</v>
      </c>
      <c r="I7" s="1">
        <f t="shared" si="1"/>
        <v>1.1804000000000001</v>
      </c>
      <c r="J7" s="1">
        <f t="shared" si="2"/>
        <v>1.2012</v>
      </c>
      <c r="K7" s="1">
        <f t="shared" si="3"/>
        <v>0.72699999999999998</v>
      </c>
      <c r="L7" s="1">
        <f t="shared" si="3"/>
        <v>0.754</v>
      </c>
    </row>
    <row r="8" spans="1:12" x14ac:dyDescent="0.2">
      <c r="A8">
        <v>2010</v>
      </c>
      <c r="B8" s="1">
        <v>0.11</v>
      </c>
      <c r="C8" s="1">
        <v>0.1043</v>
      </c>
      <c r="D8" s="1">
        <v>0.13300000000000001</v>
      </c>
      <c r="E8" s="1">
        <v>0.11</v>
      </c>
      <c r="F8" s="1">
        <v>8.8999999999999996E-2</v>
      </c>
      <c r="G8" s="1"/>
      <c r="H8" s="1">
        <f t="shared" si="0"/>
        <v>1.1100000000000001</v>
      </c>
      <c r="I8" s="1">
        <f t="shared" si="1"/>
        <v>1.1043000000000001</v>
      </c>
      <c r="J8" s="1">
        <f t="shared" si="2"/>
        <v>1.133</v>
      </c>
      <c r="K8" s="1">
        <f t="shared" si="3"/>
        <v>1.1100000000000001</v>
      </c>
      <c r="L8" s="1">
        <f t="shared" si="3"/>
        <v>1.089</v>
      </c>
    </row>
    <row r="9" spans="1:12" x14ac:dyDescent="0.2">
      <c r="A9">
        <v>2011</v>
      </c>
      <c r="B9" s="1">
        <v>0.21099999999999999</v>
      </c>
      <c r="C9" s="1">
        <v>1.38E-2</v>
      </c>
      <c r="D9" s="1">
        <v>0.01</v>
      </c>
      <c r="E9" s="1">
        <v>0.214</v>
      </c>
      <c r="F9" s="1">
        <v>0.219</v>
      </c>
      <c r="G9" s="1"/>
      <c r="H9" s="1">
        <f t="shared" si="0"/>
        <v>1.2110000000000001</v>
      </c>
      <c r="I9" s="1">
        <f t="shared" si="1"/>
        <v>1.0138</v>
      </c>
      <c r="J9" s="1">
        <f t="shared" si="2"/>
        <v>1.01</v>
      </c>
      <c r="K9" s="1">
        <f t="shared" si="3"/>
        <v>1.214</v>
      </c>
      <c r="L9" s="1">
        <f t="shared" si="3"/>
        <v>1.2190000000000001</v>
      </c>
    </row>
    <row r="10" spans="1:12" x14ac:dyDescent="0.2">
      <c r="A10">
        <v>2012</v>
      </c>
      <c r="B10" s="1">
        <v>3.1E-2</v>
      </c>
      <c r="C10" s="1">
        <v>0.1008</v>
      </c>
      <c r="D10" s="1">
        <v>0.13500000000000001</v>
      </c>
      <c r="E10" s="1">
        <v>-1E-3</v>
      </c>
      <c r="F10" s="1">
        <v>4.7E-2</v>
      </c>
      <c r="G10" s="1"/>
      <c r="H10" s="1">
        <f t="shared" si="0"/>
        <v>1.0309999999999999</v>
      </c>
      <c r="I10" s="1">
        <f t="shared" si="1"/>
        <v>1.1008</v>
      </c>
      <c r="J10" s="1">
        <f t="shared" si="2"/>
        <v>1.135</v>
      </c>
      <c r="K10" s="1">
        <f t="shared" si="3"/>
        <v>0.999</v>
      </c>
      <c r="L10" s="1">
        <f t="shared" si="3"/>
        <v>1.0469999999999999</v>
      </c>
    </row>
    <row r="11" spans="1:12" x14ac:dyDescent="0.2">
      <c r="A11">
        <v>2013</v>
      </c>
      <c r="B11" s="1">
        <v>0.124</v>
      </c>
      <c r="C11" s="1">
        <v>0.16189999999999999</v>
      </c>
      <c r="D11" s="1">
        <v>0.17299999999999999</v>
      </c>
      <c r="E11" s="1">
        <v>0.113</v>
      </c>
      <c r="F11" s="1">
        <v>0.125</v>
      </c>
      <c r="G11" s="1"/>
      <c r="H11" s="1">
        <f>1+B11</f>
        <v>1.1240000000000001</v>
      </c>
      <c r="I11" s="1">
        <f>1+C11</f>
        <v>1.1618999999999999</v>
      </c>
      <c r="J11" s="1">
        <f>1+D11</f>
        <v>1.173</v>
      </c>
      <c r="K11" s="1">
        <f>1+E11</f>
        <v>1.113</v>
      </c>
      <c r="L11" s="1">
        <f t="shared" si="3"/>
        <v>1.125</v>
      </c>
    </row>
    <row r="12" spans="1:12" x14ac:dyDescent="0.2">
      <c r="A12">
        <v>2014</v>
      </c>
      <c r="B12" s="1">
        <v>0.17599999999999999</v>
      </c>
      <c r="C12" s="1">
        <v>8.0500000000000002E-2</v>
      </c>
      <c r="D12" s="1">
        <v>8.4000000000000005E-2</v>
      </c>
      <c r="E12" s="1">
        <v>0.15</v>
      </c>
      <c r="F12" s="1">
        <v>0.20200000000000001</v>
      </c>
      <c r="G12" s="1"/>
      <c r="H12" s="1">
        <f t="shared" ref="H12:H21" si="4">1+B12</f>
        <v>1.1759999999999999</v>
      </c>
      <c r="I12" s="1">
        <f>1+C12</f>
        <v>1.0805</v>
      </c>
      <c r="J12" s="1">
        <f>1+D12</f>
        <v>1.0840000000000001</v>
      </c>
      <c r="K12" s="1">
        <f>1+E12</f>
        <v>1.1499999999999999</v>
      </c>
      <c r="L12" s="1">
        <f t="shared" si="3"/>
        <v>1.202</v>
      </c>
    </row>
    <row r="13" spans="1:12" x14ac:dyDescent="0.2">
      <c r="A13">
        <v>2015</v>
      </c>
      <c r="B13" s="1">
        <v>4.2000000000000003E-2</v>
      </c>
      <c r="C13" s="1">
        <v>3.5000000000000001E-3</v>
      </c>
      <c r="D13" s="1">
        <v>-7.0000000000000001E-3</v>
      </c>
      <c r="E13" s="1">
        <v>5.8000000000000003E-2</v>
      </c>
      <c r="F13" s="1">
        <v>0.115</v>
      </c>
      <c r="G13" s="1"/>
      <c r="H13" s="1">
        <f t="shared" si="4"/>
        <v>1.042</v>
      </c>
      <c r="I13" s="1">
        <f>1+C13</f>
        <v>1.0035000000000001</v>
      </c>
      <c r="J13" s="1">
        <f>1+D13</f>
        <v>0.99299999999999999</v>
      </c>
      <c r="K13" s="1">
        <f>1+E13</f>
        <v>1.0580000000000001</v>
      </c>
      <c r="L13" s="1">
        <f t="shared" si="3"/>
        <v>1.115</v>
      </c>
    </row>
    <row r="14" spans="1:12" x14ac:dyDescent="0.2">
      <c r="A14">
        <v>2016</v>
      </c>
      <c r="B14" s="1">
        <v>2.3E-2</v>
      </c>
      <c r="C14" s="1">
        <v>7.6899999999999996E-2</v>
      </c>
      <c r="D14" s="1">
        <v>8.5999999999999993E-2</v>
      </c>
      <c r="E14" s="1">
        <v>-0.02</v>
      </c>
      <c r="F14" s="1">
        <v>3.4000000000000002E-2</v>
      </c>
      <c r="G14" s="1"/>
      <c r="H14" s="1">
        <f t="shared" si="4"/>
        <v>1.0229999999999999</v>
      </c>
      <c r="I14" s="1">
        <f>1+C14</f>
        <v>1.0769</v>
      </c>
      <c r="J14" s="1">
        <f>1+D14</f>
        <v>1.0860000000000001</v>
      </c>
      <c r="K14" s="1">
        <f>1+E14</f>
        <v>0.98</v>
      </c>
      <c r="L14" s="1">
        <f t="shared" si="3"/>
        <v>1.034</v>
      </c>
    </row>
    <row r="15" spans="1:12" x14ac:dyDescent="0.2">
      <c r="A15">
        <v>2017</v>
      </c>
      <c r="B15" s="1">
        <v>0.11899999999999999</v>
      </c>
      <c r="C15" s="1">
        <v>0.1464</v>
      </c>
      <c r="D15" s="1">
        <v>0.13700000000000001</v>
      </c>
      <c r="E15" s="1">
        <v>0.08</v>
      </c>
      <c r="F15" s="1">
        <v>0.113</v>
      </c>
      <c r="G15" s="1"/>
      <c r="H15" s="1">
        <f t="shared" si="4"/>
        <v>1.119</v>
      </c>
      <c r="I15" s="1">
        <f>1+C15</f>
        <v>1.1464000000000001</v>
      </c>
      <c r="J15" s="1">
        <f>1+D15</f>
        <v>1.137</v>
      </c>
      <c r="K15" s="1">
        <f>1+E15</f>
        <v>1.08</v>
      </c>
      <c r="L15" s="1">
        <f t="shared" si="3"/>
        <v>1.113</v>
      </c>
    </row>
    <row r="16" spans="1:12" x14ac:dyDescent="0.2">
      <c r="A16">
        <v>2018</v>
      </c>
      <c r="B16" s="1">
        <v>8.5999999999999993E-2</v>
      </c>
      <c r="C16" s="1">
        <v>-5.4199999999999998E-2</v>
      </c>
      <c r="D16" s="1">
        <v>-5.7000000000000002E-2</v>
      </c>
      <c r="E16" s="1">
        <v>0.1</v>
      </c>
      <c r="F16" s="1">
        <v>0.123</v>
      </c>
      <c r="G16" s="1"/>
      <c r="H16" s="1">
        <f t="shared" si="4"/>
        <v>1.0860000000000001</v>
      </c>
      <c r="I16" s="1">
        <f>1+C16</f>
        <v>0.94579999999999997</v>
      </c>
      <c r="J16" s="1">
        <f>1+D16</f>
        <v>0.94299999999999995</v>
      </c>
      <c r="K16" s="1">
        <f>1+E16</f>
        <v>1.1000000000000001</v>
      </c>
      <c r="L16" s="1">
        <f t="shared" si="3"/>
        <v>1.123</v>
      </c>
    </row>
    <row r="17" spans="1:12" x14ac:dyDescent="0.2">
      <c r="A17">
        <v>2019</v>
      </c>
      <c r="B17" s="1">
        <v>8.5000000000000006E-2</v>
      </c>
      <c r="C17" s="1">
        <v>0.20230000000000001</v>
      </c>
      <c r="D17" s="1">
        <v>0.20100000000000001</v>
      </c>
      <c r="E17" s="1">
        <v>6.5000000000000002E-2</v>
      </c>
      <c r="F17" s="1">
        <v>5.7000000000000002E-2</v>
      </c>
      <c r="G17" s="1"/>
      <c r="H17" s="1">
        <f t="shared" si="4"/>
        <v>1.085</v>
      </c>
      <c r="I17" s="1">
        <f>1+C17</f>
        <v>1.2022999999999999</v>
      </c>
      <c r="J17" s="1">
        <f>1+D17</f>
        <v>1.2010000000000001</v>
      </c>
      <c r="K17" s="1">
        <f>1+E17</f>
        <v>1.0649999999999999</v>
      </c>
      <c r="L17" s="1">
        <f t="shared" si="3"/>
        <v>1.0569999999999999</v>
      </c>
    </row>
    <row r="18" spans="1:12" x14ac:dyDescent="0.2">
      <c r="A18">
        <v>2020</v>
      </c>
      <c r="B18" s="1">
        <v>7.1999999999999995E-2</v>
      </c>
      <c r="C18" s="1">
        <v>0.12620000000000001</v>
      </c>
      <c r="D18" s="1">
        <v>9.6000000000000002E-2</v>
      </c>
      <c r="E18" s="1">
        <v>7.2999999999999995E-2</v>
      </c>
      <c r="F18" s="1">
        <v>6.8000000000000005E-2</v>
      </c>
      <c r="G18" s="1"/>
      <c r="H18" s="1">
        <f t="shared" si="4"/>
        <v>1.0720000000000001</v>
      </c>
      <c r="I18" s="1">
        <f>1+C18</f>
        <v>1.1262000000000001</v>
      </c>
      <c r="J18" s="1">
        <f>1+D18</f>
        <v>1.0960000000000001</v>
      </c>
      <c r="K18" s="1">
        <f>1+E18</f>
        <v>1.073</v>
      </c>
      <c r="L18" s="1">
        <f t="shared" ref="L18:L21" si="5">1+F18</f>
        <v>1.0680000000000001</v>
      </c>
    </row>
    <row r="19" spans="1:12" x14ac:dyDescent="0.2">
      <c r="A19">
        <v>2021</v>
      </c>
      <c r="B19" s="1">
        <v>0.27300000000000002</v>
      </c>
      <c r="C19" s="1">
        <v>0.12470000000000001</v>
      </c>
      <c r="D19" s="1">
        <v>0.13900000000000001</v>
      </c>
      <c r="E19" s="1">
        <v>0.33600000000000002</v>
      </c>
      <c r="F19" s="1">
        <v>0.40200000000000002</v>
      </c>
      <c r="G19" s="1"/>
      <c r="H19" s="1">
        <f t="shared" si="4"/>
        <v>1.2730000000000001</v>
      </c>
      <c r="I19" s="1">
        <f>1+C19</f>
        <v>1.1247</v>
      </c>
      <c r="J19" s="1">
        <f>1+D19</f>
        <v>1.139</v>
      </c>
      <c r="K19" s="1">
        <f>1+E19</f>
        <v>1.3360000000000001</v>
      </c>
      <c r="L19" s="1">
        <f t="shared" si="5"/>
        <v>1.4020000000000001</v>
      </c>
    </row>
    <row r="20" spans="1:12" x14ac:dyDescent="0.2">
      <c r="A20">
        <v>2022</v>
      </c>
      <c r="B20" s="1">
        <v>-5.0999999999999997E-2</v>
      </c>
      <c r="C20" s="1">
        <v>-0.16020000000000001</v>
      </c>
      <c r="D20" s="1">
        <v>-0.157</v>
      </c>
      <c r="E20" s="1">
        <v>-1.7999999999999999E-2</v>
      </c>
      <c r="F20" s="1">
        <v>8.0000000000000004E-4</v>
      </c>
      <c r="G20" s="1"/>
      <c r="H20" s="1">
        <f t="shared" si="4"/>
        <v>0.94899999999999995</v>
      </c>
      <c r="I20" s="1">
        <f>1+C20</f>
        <v>0.83979999999999999</v>
      </c>
      <c r="J20" s="1">
        <f>1+D20</f>
        <v>0.84299999999999997</v>
      </c>
      <c r="K20" s="1">
        <f>1+E20</f>
        <v>0.98199999999999998</v>
      </c>
      <c r="L20" s="1">
        <f t="shared" si="5"/>
        <v>1.0007999999999999</v>
      </c>
    </row>
    <row r="21" spans="1:12" x14ac:dyDescent="0.2">
      <c r="A21">
        <v>2023</v>
      </c>
      <c r="B21" s="1">
        <v>9.2999999999999999E-2</v>
      </c>
      <c r="C21" s="1">
        <v>0.15640000000000001</v>
      </c>
      <c r="D21" s="1">
        <v>0.15</v>
      </c>
      <c r="E21" s="1">
        <v>2.9000000000000001E-2</v>
      </c>
      <c r="F21" s="1">
        <v>1.7999999999999999E-2</v>
      </c>
      <c r="G21" s="1"/>
      <c r="H21" s="1">
        <f t="shared" si="4"/>
        <v>1.093</v>
      </c>
      <c r="I21" s="1">
        <f>1+C21</f>
        <v>1.1564000000000001</v>
      </c>
      <c r="J21" s="1">
        <f>1+D21</f>
        <v>1.1499999999999999</v>
      </c>
      <c r="K21" s="1">
        <f>1+E21</f>
        <v>1.0289999999999999</v>
      </c>
      <c r="L21" s="1">
        <f t="shared" si="5"/>
        <v>1.018</v>
      </c>
    </row>
    <row r="22" spans="1:12" x14ac:dyDescent="0.2">
      <c r="A22">
        <v>2024</v>
      </c>
      <c r="B22" s="1">
        <v>0.121</v>
      </c>
      <c r="E22" s="1">
        <v>9.6000000000000002E-2</v>
      </c>
      <c r="F22" s="1">
        <v>5.7000000000000002E-2</v>
      </c>
      <c r="G22" s="1"/>
    </row>
    <row r="23" spans="1:12" x14ac:dyDescent="0.2">
      <c r="A23">
        <v>2025</v>
      </c>
      <c r="B23" s="1">
        <v>0</v>
      </c>
      <c r="E23" s="1">
        <v>0.11899999999999999</v>
      </c>
      <c r="F23" s="1">
        <v>0.111</v>
      </c>
      <c r="G23" s="1"/>
    </row>
    <row r="25" spans="1:12" x14ac:dyDescent="0.2">
      <c r="G25" t="s">
        <v>10</v>
      </c>
      <c r="H25" s="2">
        <f>PRODUCT(H11:H21)^(1/COUNT(H11:H21))-1</f>
        <v>9.1878212019131933E-2</v>
      </c>
      <c r="I25" s="2">
        <f t="shared" ref="I25:K25" si="6">PRODUCT(I11:I21)^(1/COUNT(I11:I21))-1</f>
        <v>7.3218753452675367E-2</v>
      </c>
      <c r="J25" s="2">
        <f t="shared" si="6"/>
        <v>7.1470236083827965E-2</v>
      </c>
      <c r="K25" s="2">
        <f t="shared" si="6"/>
        <v>8.4154703029962974E-2</v>
      </c>
      <c r="L25" s="2">
        <f t="shared" ref="L25" si="7">PRODUCT(L11:L21)^(1/COUNT(L11:L21))-1</f>
        <v>0.10968959322032079</v>
      </c>
    </row>
    <row r="26" spans="1:12" x14ac:dyDescent="0.2">
      <c r="G26" t="s">
        <v>11</v>
      </c>
      <c r="H26" s="2">
        <f>PRODUCT(H2:H21)^(1/COUNT(H2:H21))-1</f>
        <v>7.8873721636728789E-2</v>
      </c>
      <c r="I26" s="2">
        <f t="shared" ref="I26:K26" si="8">PRODUCT(I2:I21)^(1/COUNT(I2:I21))-1</f>
        <v>6.3379151779133336E-2</v>
      </c>
      <c r="J26" s="2">
        <f t="shared" si="8"/>
        <v>6.5575943836424955E-2</v>
      </c>
      <c r="K26" s="2">
        <f t="shared" si="8"/>
        <v>8.7535844039126287E-2</v>
      </c>
      <c r="L26" s="2">
        <f t="shared" ref="L26" si="9">PRODUCT(L2:L21)^(1/COUNT(L2:L21))-1</f>
        <v>0.10890351281147415</v>
      </c>
    </row>
    <row r="30" spans="1:12" x14ac:dyDescent="0.2">
      <c r="B30" t="s">
        <v>8</v>
      </c>
      <c r="C30" t="s">
        <v>9</v>
      </c>
      <c r="D30" t="s">
        <v>9</v>
      </c>
      <c r="E3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DiffReturnsV3</vt:lpstr>
      <vt:lpstr>Link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Vu</dc:creator>
  <cp:lastModifiedBy>Steve Vu</cp:lastModifiedBy>
  <dcterms:created xsi:type="dcterms:W3CDTF">2025-12-12T06:28:29Z</dcterms:created>
  <dcterms:modified xsi:type="dcterms:W3CDTF">2025-12-17T20:08:00Z</dcterms:modified>
</cp:coreProperties>
</file>